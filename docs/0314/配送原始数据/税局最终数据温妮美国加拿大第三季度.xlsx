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<sst xmlns="http://schemas.openxmlformats.org/spreadsheetml/2006/main" count="50" uniqueCount="25">
  <si>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MCID
卖家记号</t>
  </si>
  <si>
    <t>Market Place
亚马逊商城</t>
  </si>
  <si>
    <t>Company name
公司名称</t>
  </si>
  <si>
    <t>USCC/Taxpayer Identification Number
统一社会信用代码/纳税人识别号</t>
  </si>
  <si>
    <t>Quarter
季度</t>
  </si>
  <si>
    <t>Total Revenue
收入总额 (a)</t>
  </si>
  <si>
    <t>Refund Amount
退款金额 (b)</t>
  </si>
  <si>
    <t>Net Income
收入净额 (c=a-b)</t>
  </si>
  <si>
    <t>The total amount of commission and service fees paid to the platform
支付给平台的佣金、服务费合计金额</t>
  </si>
  <si>
    <t>Number of Transactions (Order)
交易（订单）数量（笔）</t>
  </si>
  <si>
    <t>A3T9TIADTG9Q2C</t>
  </si>
  <si>
    <t>amazon.ca</t>
  </si>
  <si>
    <t>dongguanshiwennidianzishangwuyouxiangongsi</t>
  </si>
  <si>
    <t>91441900MA561WPM3Y</t>
  </si>
  <si>
    <t>Q3 (July - September 2025)
Q3 (2025年7-9月)</t>
  </si>
  <si>
    <t>amazon.com</t>
  </si>
  <si>
    <t>求和</t>
  </si>
  <si>
    <t>软件计算</t>
  </si>
  <si>
    <t>平台-软件</t>
  </si>
  <si>
    <t>季度</t>
  </si>
  <si>
    <t>货币</t>
  </si>
  <si>
    <t>人民币总价合计</t>
  </si>
  <si>
    <t>2025Q3</t>
  </si>
  <si>
    <t>CAD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</si>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</sst>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2" borderId="1" xfId="0" applyNumberFormat="1" applyFill="1" applyBorder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3" fontId="0" fillId="0" borderId="0" xfId="0" applyNumberFormat="1"/>
    <xf numFmtId="0" fontId="0" fillId="3" borderId="0" xfId="0" applyFill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workbookViewId="0">
      <selection activeCell="H16" sqref="H16"/>
    </sheetView>
  </sheetViews>
  <sheetFormatPr defaultColWidth="9" defaultRowHeight="13.5"/>
  <cols>
    <col min="2" max="2" width="11.625" customWidth="1"/>
    <col min="5" max="5" width="9.875" customWidth="1"/>
    <col min="6" max="6" width="15.875" customWidth="1"/>
    <col min="7" max="7" width="26.25" customWidth="1"/>
    <col min="8" max="8" width="25" customWidth="1"/>
    <col min="9" max="9" width="36.25" customWidth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</row>
    <row r="2" s="1" customFormat="1" spans="1:1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56570.57</v>
      </c>
      <c r="G2" s="4">
        <v>14533.95</v>
      </c>
      <c r="H2" s="4">
        <v>42036.62</v>
      </c>
      <c r="I2" s="4">
        <v>25179</v>
      </c>
      <c r="J2" s="4">
        <v>317</v>
      </c>
      <c r="K2" s="3"/>
      <c r="L2" s="3"/>
      <c r="M2" s="3"/>
    </row>
    <row r="3" s="1" customFormat="1" spans="1:13">
      <c r="A3" s="3" t="s">
        <v>10</v>
      </c>
      <c r="B3" s="3" t="s">
        <v>15</v>
      </c>
      <c r="C3" s="3" t="s">
        <v>12</v>
      </c>
      <c r="D3" s="3" t="s">
        <v>13</v>
      </c>
      <c r="E3" s="3" t="s">
        <v>14</v>
      </c>
      <c r="F3" s="4">
        <v>6593009.09</v>
      </c>
      <c r="G3" s="4">
        <v>1678952.62</v>
      </c>
      <c r="H3" s="4">
        <v>4914056.47</v>
      </c>
      <c r="I3" s="4">
        <v>2377243</v>
      </c>
      <c r="J3" s="4">
        <v>30856</v>
      </c>
      <c r="K3" s="3"/>
      <c r="L3" s="3"/>
      <c r="M3" s="3"/>
    </row>
    <row r="4" s="1" customFormat="1" spans="1:13">
      <c r="A4" s="3"/>
      <c r="B4" s="3"/>
      <c r="C4" s="3"/>
      <c r="D4" s="3"/>
      <c r="E4" s="3" t="s">
        <v>16</v>
      </c>
      <c r="F4" s="3">
        <f>SUM(F2:F3)</f>
        <v>6649579.66</v>
      </c>
      <c r="G4" s="3">
        <f>SUM(G2:G3)</f>
        <v>1693486.57</v>
      </c>
      <c r="H4" s="3">
        <f>SUM(H2:H3)</f>
        <v>4956093.09</v>
      </c>
      <c r="I4" s="3">
        <f>SUM(I2:I3)</f>
        <v>2402422</v>
      </c>
      <c r="J4" s="3">
        <f>SUM(J2:J3)</f>
        <v>31173</v>
      </c>
      <c r="K4" s="3"/>
      <c r="L4" s="3"/>
      <c r="M4" s="3"/>
    </row>
    <row r="5" spans="1:13">
      <c r="A5" t="s">
        <v>17</v>
      </c>
    </row>
    <row r="6" spans="1:13">
      <c r="A6" s="5" t="s">
        <v>0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</row>
    <row r="7" spans="1:13">
      <c r="A7" t="s">
        <v>10</v>
      </c>
      <c r="B7" t="s">
        <v>11</v>
      </c>
      <c r="C7" t="s">
        <v>12</v>
      </c>
      <c r="D7" t="s">
        <v>13</v>
      </c>
      <c r="E7" t="s">
        <v>14</v>
      </c>
      <c r="F7" s="6">
        <v>56326.77</v>
      </c>
      <c r="G7" s="6">
        <v>15723.87</v>
      </c>
      <c r="H7" s="6">
        <v>40602.9</v>
      </c>
      <c r="I7" s="6">
        <v>27771.13</v>
      </c>
      <c r="J7">
        <v>447</v>
      </c>
      <c r="K7">
        <v>128</v>
      </c>
      <c r="L7">
        <f>J7-K7</f>
        <v>319</v>
      </c>
    </row>
    <row r="8" spans="1:13">
      <c r="A8" t="s">
        <v>10</v>
      </c>
      <c r="B8" t="s">
        <v>15</v>
      </c>
      <c r="C8" t="s">
        <v>12</v>
      </c>
      <c r="D8" t="s">
        <v>13</v>
      </c>
      <c r="E8" t="s">
        <v>14</v>
      </c>
      <c r="F8" s="6">
        <v>6570356.6</v>
      </c>
      <c r="G8" s="6">
        <v>1723711.93</v>
      </c>
      <c r="H8" s="6">
        <v>4846644.67</v>
      </c>
      <c r="I8" s="6">
        <v>2850465.44</v>
      </c>
      <c r="J8" s="7">
        <v>42561</v>
      </c>
      <c r="K8">
        <v>10941</v>
      </c>
      <c r="L8">
        <f>J8-K8</f>
        <v>31620</v>
      </c>
    </row>
    <row r="9" spans="1:13">
      <c r="F9">
        <f>SUM(F7:F8)</f>
        <v>6626683.37</v>
      </c>
      <c r="G9">
        <f t="shared" ref="F9:J9" si="0">SUM(G7:G8)</f>
        <v>1739435.8</v>
      </c>
      <c r="H9">
        <f t="shared" si="0"/>
        <v>4887247.57</v>
      </c>
      <c r="I9">
        <f t="shared" si="0"/>
        <v>2878236.57</v>
      </c>
      <c r="L9">
        <f>SUM(L7:L8)</f>
        <v>31939</v>
      </c>
    </row>
    <row r="10" spans="1:13">
      <c r="A10" s="8" t="s">
        <v>18</v>
      </c>
      <c r="F10">
        <f t="shared" ref="F10:I10" si="1">F4-F9</f>
        <v>22896.290000001</v>
      </c>
      <c r="G10">
        <f t="shared" si="1"/>
        <v>-45949.23</v>
      </c>
      <c r="H10">
        <f t="shared" si="1"/>
        <v>68845.5199999996</v>
      </c>
      <c r="I10">
        <f t="shared" si="1"/>
        <v>-475814.57</v>
      </c>
    </row>
    <row r="19" spans="4:7">
      <c r="D19" s="9" t="s">
        <v>19</v>
      </c>
      <c r="E19" s="9" t="s">
        <v>20</v>
      </c>
      <c r="F19" s="9" t="s">
        <v>21</v>
      </c>
    </row>
    <row r="20" spans="4:7">
      <c r="D20" t="s">
        <v>22</v>
      </c>
      <c r="E20" t="s">
        <v>23</v>
      </c>
      <c r="F20">
        <v>56574.213923</v>
      </c>
      <c r="G20">
        <v>13951.557285</v>
      </c>
    </row>
    <row r="21" spans="4:7">
      <c r="D21" t="s">
        <v>22</v>
      </c>
      <c r="E21" t="s">
        <v>24</v>
      </c>
      <c r="F21">
        <v>6593497.72964</v>
      </c>
      <c r="G21">
        <v>1628553.996535</v>
      </c>
    </row>
    <row r="22" spans="4:7">
      <c r="F22" s="6"/>
    </row>
    <row r="23" spans="4:7">
      <c r="F2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Hermit。</cp:lastModifiedBy>
  <dcterms:created xsi:type="dcterms:W3CDTF">2025-11-26T19:21:00Z</dcterms:created>
  <dcterms:modified xsi:type="dcterms:W3CDTF">2026-03-11T12:40:58Z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A8EE12331F5A402DAC0D78F37922797C_12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